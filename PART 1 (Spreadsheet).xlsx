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dia\OneDrive\Documents\Software Engineering\Semester 2\"/>
    </mc:Choice>
  </mc:AlternateContent>
  <xr:revisionPtr revIDLastSave="0" documentId="8_{A35BF9FB-3685-4B02-88A1-9DA55D1846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B50" i="2"/>
  <c r="H13" i="2"/>
  <c r="H12" i="2"/>
  <c r="H11" i="2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B52" i="2" l="1"/>
  <c r="B54" i="2"/>
  <c r="B56" i="2"/>
  <c r="I15" i="2"/>
  <c r="I16" i="2" s="1"/>
  <c r="I17" i="2" s="1"/>
  <c r="I18" i="2" s="1"/>
  <c r="H14" i="2"/>
  <c r="I19" i="2" l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</calcChain>
</file>

<file path=xl/sharedStrings.xml><?xml version="1.0" encoding="utf-8"?>
<sst xmlns="http://schemas.openxmlformats.org/spreadsheetml/2006/main" count="126" uniqueCount="23">
  <si>
    <t>Coffee Shop Chain Management</t>
  </si>
  <si>
    <t>Maintenance cost per coffee machine: £200 (Cost to maintain each machine and premises)
Fixed costs per month: £5000 (Include advertising, salaries, rent, etc.)
Sale price per coffee: £3 (How much each coffee is sold for)
Amount borrowed: £30,000 (Startup capital)
Term (years): 3 (Length of loan)
Monthly loan repayment: £919.47 (How much you need to pay back each month)
- Logical ERD.
- Physical ERD.</t>
  </si>
  <si>
    <t>FIXED COSTS</t>
  </si>
  <si>
    <t>INCOME</t>
  </si>
  <si>
    <t>Month</t>
  </si>
  <si>
    <t>Number of Coffees Sold</t>
  </si>
  <si>
    <t>Loan Repayment</t>
  </si>
  <si>
    <t>Fixed Costs Per Month</t>
  </si>
  <si>
    <t>Maintenance Costs</t>
  </si>
  <si>
    <t>Monthly Expenditure</t>
  </si>
  <si>
    <t>Sales (Monthly Income)</t>
  </si>
  <si>
    <t>Monthly cash/flow</t>
  </si>
  <si>
    <t>Cumulative Profit/Loss</t>
  </si>
  <si>
    <t>£919.47</t>
  </si>
  <si>
    <t>£5,000</t>
  </si>
  <si>
    <t>£200</t>
  </si>
  <si>
    <t>£113,880.53</t>
  </si>
  <si>
    <t>£227,761.06</t>
  </si>
  <si>
    <t>£5,009</t>
  </si>
  <si>
    <t>Total number of coffe sold</t>
  </si>
  <si>
    <t>Min sales</t>
  </si>
  <si>
    <t>Max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</si>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</sst>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-809]#,##0.00"/>
    <numFmt numFmtId="165" formatCode="[$£-809]#,##0.00;\-[$£-809]#,##0.00"/>
    <numFmt numFmtId="166" formatCode="[$£-809]#,##0.00;[Red]\-[$£-809]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Segoe UI"/>
      <family val="2"/>
    </font>
    <font>
      <sz val="9.6"/>
      <color rgb="FFECECEC"/>
      <name val="Segoe UI"/>
      <family val="2"/>
    </font>
    <font>
      <sz val="9.6"/>
      <color theme="1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0" fontId="5" fillId="5" borderId="14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vertical="center" wrapText="1"/>
    </xf>
    <xf numFmtId="164" fontId="6" fillId="2" borderId="16" xfId="0" applyNumberFormat="1" applyFont="1" applyFill="1" applyBorder="1" applyAlignment="1">
      <alignment horizontal="center" vertical="center" wrapText="1"/>
    </xf>
    <xf numFmtId="164" fontId="5" fillId="5" borderId="14" xfId="0" applyNumberFormat="1" applyFont="1" applyFill="1" applyBorder="1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/>
    <xf numFmtId="164" fontId="3" fillId="0" borderId="0" xfId="0" applyNumberFormat="1" applyFont="1" applyAlignment="1">
      <alignment horizontal="center"/>
    </xf>
    <xf numFmtId="164" fontId="4" fillId="6" borderId="0" xfId="0" applyNumberFormat="1" applyFont="1" applyFill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2" fontId="5" fillId="5" borderId="14" xfId="0" applyNumberFormat="1" applyFont="1" applyFill="1" applyBorder="1" applyAlignment="1">
      <alignment horizontal="center" wrapText="1"/>
    </xf>
    <xf numFmtId="2" fontId="6" fillId="2" borderId="16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9" xfId="0" applyNumberFormat="1" applyBorder="1" applyAlignment="1">
      <alignment horizontal="center"/>
    </xf>
    <xf numFmtId="2" fontId="1" fillId="0" borderId="10" xfId="0" applyNumberFormat="1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right"/>
    </xf>
    <xf numFmtId="164" fontId="0" fillId="3" borderId="13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4" fillId="6" borderId="1" xfId="0" applyNumberFormat="1" applyFont="1" applyFill="1" applyBorder="1" applyAlignment="1">
      <alignment horizontal="center" vertical="center" wrapText="1"/>
    </xf>
    <xf numFmtId="166" fontId="4" fillId="6" borderId="5" xfId="0" applyNumberFormat="1" applyFont="1" applyFill="1" applyBorder="1" applyAlignment="1">
      <alignment horizontal="center" vertical="center"/>
    </xf>
    <xf numFmtId="166" fontId="4" fillId="6" borderId="8" xfId="0" applyNumberFormat="1" applyFont="1" applyFill="1" applyBorder="1" applyAlignment="1">
      <alignment horizontal="center" vertical="center"/>
    </xf>
    <xf numFmtId="166" fontId="1" fillId="2" borderId="0" xfId="0" applyNumberFormat="1" applyFont="1" applyFill="1"/>
    <xf numFmtId="166" fontId="0" fillId="4" borderId="9" xfId="0" applyNumberFormat="1" applyFill="1" applyBorder="1" applyAlignment="1">
      <alignment horizontal="center"/>
    </xf>
    <xf numFmtId="166" fontId="5" fillId="5" borderId="14" xfId="0" applyNumberFormat="1" applyFont="1" applyFill="1" applyBorder="1" applyAlignment="1">
      <alignment horizontal="center" wrapText="1"/>
    </xf>
    <xf numFmtId="166" fontId="6" fillId="2" borderId="16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2" xfId="0" applyNumberFormat="1" applyBorder="1"/>
    <xf numFmtId="165" fontId="0" fillId="2" borderId="0" xfId="0" applyNumberFormat="1" applyFill="1"/>
    <xf numFmtId="165" fontId="0" fillId="2" borderId="7" xfId="0" applyNumberFormat="1" applyFill="1" applyBorder="1"/>
    <xf numFmtId="165" fontId="5" fillId="5" borderId="14" xfId="0" applyNumberFormat="1" applyFont="1" applyFill="1" applyBorder="1" applyAlignment="1">
      <alignment horizontal="center" wrapText="1"/>
    </xf>
    <xf numFmtId="165" fontId="6" fillId="2" borderId="16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4" fontId="0" fillId="0" borderId="3" xfId="0" applyNumberFormat="1" applyBorder="1"/>
    <xf numFmtId="164" fontId="0" fillId="0" borderId="5" xfId="0" applyNumberFormat="1" applyBorder="1"/>
    <xf numFmtId="164" fontId="0" fillId="2" borderId="5" xfId="0" applyNumberFormat="1" applyFill="1" applyBorder="1"/>
    <xf numFmtId="164" fontId="0" fillId="2" borderId="8" xfId="0" applyNumberFormat="1" applyFill="1" applyBorder="1"/>
    <xf numFmtId="164" fontId="5" fillId="5" borderId="15" xfId="0" applyNumberFormat="1" applyFont="1" applyFill="1" applyBorder="1" applyAlignment="1">
      <alignment horizontal="center" wrapText="1"/>
    </xf>
    <xf numFmtId="164" fontId="6" fillId="2" borderId="1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</dxf>
    <dxf>
      <font>
        <color rgb="FFFFFF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, monthly cash flow and profit/loss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Question!$H$1:$H$8</c:f>
              <c:strCache>
                <c:ptCount val="8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Question!$G$9:$G$57</c:f>
              <c:strCache>
                <c:ptCount val="39"/>
                <c:pt idx="0">
                  <c:v>INCOME</c:v>
                </c:pt>
                <c:pt idx="1">
                  <c:v>Sales (Monthly Income)</c:v>
                </c:pt>
                <c:pt idx="2">
                  <c:v>£30,000.00</c:v>
                </c:pt>
                <c:pt idx="3">
                  <c:v>£90,000.00</c:v>
                </c:pt>
                <c:pt idx="4">
                  <c:v>£120,000.00</c:v>
                </c:pt>
                <c:pt idx="5">
                  <c:v>£150,000.00</c:v>
                </c:pt>
                <c:pt idx="6">
                  <c:v>£135,000.00</c:v>
                </c:pt>
                <c:pt idx="7">
                  <c:v>£60,000.00</c:v>
                </c:pt>
                <c:pt idx="8">
                  <c:v>£45,000.00</c:v>
                </c:pt>
                <c:pt idx="9">
                  <c:v>£30,000.00</c:v>
                </c:pt>
                <c:pt idx="10">
                  <c:v>£60,000.00</c:v>
                </c:pt>
                <c:pt idx="11">
                  <c:v>£90,000.00</c:v>
                </c:pt>
                <c:pt idx="12">
                  <c:v>£135,000.00</c:v>
                </c:pt>
                <c:pt idx="13">
                  <c:v>£66,000.00</c:v>
                </c:pt>
                <c:pt idx="14">
                  <c:v>£132,000.00</c:v>
                </c:pt>
                <c:pt idx="15">
                  <c:v>£108,000.00</c:v>
                </c:pt>
                <c:pt idx="16">
                  <c:v>£84,000.00</c:v>
                </c:pt>
                <c:pt idx="17">
                  <c:v>£30,000.00</c:v>
                </c:pt>
                <c:pt idx="18">
                  <c:v>£33,000.00</c:v>
                </c:pt>
                <c:pt idx="19">
                  <c:v>£57,000.00</c:v>
                </c:pt>
                <c:pt idx="20">
                  <c:v>£120,000.00</c:v>
                </c:pt>
                <c:pt idx="21">
                  <c:v>£90,000.00</c:v>
                </c:pt>
                <c:pt idx="22">
                  <c:v>£63,000.00</c:v>
                </c:pt>
                <c:pt idx="23">
                  <c:v>£165,000.00</c:v>
                </c:pt>
                <c:pt idx="24">
                  <c:v>£54,000.00</c:v>
                </c:pt>
                <c:pt idx="25">
                  <c:v>£63,000.00</c:v>
                </c:pt>
                <c:pt idx="26">
                  <c:v>£108,000.00</c:v>
                </c:pt>
                <c:pt idx="27">
                  <c:v>£180,000.00</c:v>
                </c:pt>
                <c:pt idx="28">
                  <c:v>£57,000.00</c:v>
                </c:pt>
                <c:pt idx="29">
                  <c:v>£78,000.00</c:v>
                </c:pt>
                <c:pt idx="30">
                  <c:v>£72,000.00</c:v>
                </c:pt>
                <c:pt idx="31">
                  <c:v>£180,000.00</c:v>
                </c:pt>
                <c:pt idx="32">
                  <c:v>£210,000.00</c:v>
                </c:pt>
                <c:pt idx="33">
                  <c:v>£144,000.00</c:v>
                </c:pt>
                <c:pt idx="34">
                  <c:v>£129,000.00</c:v>
                </c:pt>
                <c:pt idx="35">
                  <c:v>£45,000.00</c:v>
                </c:pt>
                <c:pt idx="36">
                  <c:v>£141,000.00</c:v>
                </c:pt>
                <c:pt idx="37">
                  <c:v>£84,000.00</c:v>
                </c:pt>
                <c:pt idx="38">
                  <c:v>£144,000.00</c:v>
                </c:pt>
              </c:strCache>
            </c:strRef>
          </c:cat>
          <c:val>
            <c:numRef>
              <c:f>Question!$H$9:$H$57</c:f>
              <c:numCache>
                <c:formatCode>[$£-809]#,##0.00;\-[$£-809]#,##0.00</c:formatCode>
                <c:ptCount val="49"/>
                <c:pt idx="1">
                  <c:v>0</c:v>
                </c:pt>
                <c:pt idx="2">
                  <c:v>30000</c:v>
                </c:pt>
                <c:pt idx="3">
                  <c:v>83880.53</c:v>
                </c:pt>
                <c:pt idx="4">
                  <c:v>113880.53</c:v>
                </c:pt>
                <c:pt idx="5">
                  <c:v>143880.53</c:v>
                </c:pt>
                <c:pt idx="6">
                  <c:v>128880.53</c:v>
                </c:pt>
                <c:pt idx="7">
                  <c:v>53880.53</c:v>
                </c:pt>
                <c:pt idx="8">
                  <c:v>38880.53</c:v>
                </c:pt>
                <c:pt idx="9">
                  <c:v>23880.53</c:v>
                </c:pt>
                <c:pt idx="10">
                  <c:v>53880.53</c:v>
                </c:pt>
                <c:pt idx="11">
                  <c:v>83880.53</c:v>
                </c:pt>
                <c:pt idx="12">
                  <c:v>128880.53</c:v>
                </c:pt>
                <c:pt idx="13">
                  <c:v>59880.53</c:v>
                </c:pt>
                <c:pt idx="14">
                  <c:v>125880.53</c:v>
                </c:pt>
                <c:pt idx="15">
                  <c:v>101880.53</c:v>
                </c:pt>
                <c:pt idx="16">
                  <c:v>77880.53</c:v>
                </c:pt>
                <c:pt idx="17">
                  <c:v>23880.53</c:v>
                </c:pt>
                <c:pt idx="18">
                  <c:v>26880.53</c:v>
                </c:pt>
                <c:pt idx="19">
                  <c:v>50880.53</c:v>
                </c:pt>
                <c:pt idx="20">
                  <c:v>113880.53</c:v>
                </c:pt>
                <c:pt idx="21">
                  <c:v>83880.53</c:v>
                </c:pt>
                <c:pt idx="22">
                  <c:v>56880.53</c:v>
                </c:pt>
                <c:pt idx="23">
                  <c:v>158880.53</c:v>
                </c:pt>
                <c:pt idx="24">
                  <c:v>47880.53</c:v>
                </c:pt>
                <c:pt idx="25">
                  <c:v>56880.53</c:v>
                </c:pt>
                <c:pt idx="26">
                  <c:v>101880.53</c:v>
                </c:pt>
                <c:pt idx="27">
                  <c:v>173880.53</c:v>
                </c:pt>
                <c:pt idx="28">
                  <c:v>50880.53</c:v>
                </c:pt>
                <c:pt idx="29">
                  <c:v>71880.53</c:v>
                </c:pt>
                <c:pt idx="30">
                  <c:v>65880.53</c:v>
                </c:pt>
                <c:pt idx="31">
                  <c:v>173880.53</c:v>
                </c:pt>
                <c:pt idx="32">
                  <c:v>203880.53</c:v>
                </c:pt>
                <c:pt idx="33">
                  <c:v>137880.53</c:v>
                </c:pt>
                <c:pt idx="34">
                  <c:v>122880.53</c:v>
                </c:pt>
                <c:pt idx="35">
                  <c:v>38880.53</c:v>
                </c:pt>
                <c:pt idx="36">
                  <c:v>134880.53</c:v>
                </c:pt>
                <c:pt idx="37">
                  <c:v>77880.53</c:v>
                </c:pt>
                <c:pt idx="38">
                  <c:v>137880.53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5-42FC-B895-2FFEFCDC1059}"/>
            </c:ext>
          </c:extLst>
        </c:ser>
        <c:ser>
          <c:idx val="1"/>
          <c:order val="1"/>
          <c:tx>
            <c:strRef>
              <c:f>Question!$I$1:$I$8</c:f>
              <c:strCache>
                <c:ptCount val="8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Question!$G$9:$G$57</c:f>
              <c:strCache>
                <c:ptCount val="39"/>
                <c:pt idx="0">
                  <c:v>INCOME</c:v>
                </c:pt>
                <c:pt idx="1">
                  <c:v>Sales (Monthly Income)</c:v>
                </c:pt>
                <c:pt idx="2">
                  <c:v>£30,000.00</c:v>
                </c:pt>
                <c:pt idx="3">
                  <c:v>£90,000.00</c:v>
                </c:pt>
                <c:pt idx="4">
                  <c:v>£120,000.00</c:v>
                </c:pt>
                <c:pt idx="5">
                  <c:v>£150,000.00</c:v>
                </c:pt>
                <c:pt idx="6">
                  <c:v>£135,000.00</c:v>
                </c:pt>
                <c:pt idx="7">
                  <c:v>£60,000.00</c:v>
                </c:pt>
                <c:pt idx="8">
                  <c:v>£45,000.00</c:v>
                </c:pt>
                <c:pt idx="9">
                  <c:v>£30,000.00</c:v>
                </c:pt>
                <c:pt idx="10">
                  <c:v>£60,000.00</c:v>
                </c:pt>
                <c:pt idx="11">
                  <c:v>£90,000.00</c:v>
                </c:pt>
                <c:pt idx="12">
                  <c:v>£135,000.00</c:v>
                </c:pt>
                <c:pt idx="13">
                  <c:v>£66,000.00</c:v>
                </c:pt>
                <c:pt idx="14">
                  <c:v>£132,000.00</c:v>
                </c:pt>
                <c:pt idx="15">
                  <c:v>£108,000.00</c:v>
                </c:pt>
                <c:pt idx="16">
                  <c:v>£84,000.00</c:v>
                </c:pt>
                <c:pt idx="17">
                  <c:v>£30,000.00</c:v>
                </c:pt>
                <c:pt idx="18">
                  <c:v>£33,000.00</c:v>
                </c:pt>
                <c:pt idx="19">
                  <c:v>£57,000.00</c:v>
                </c:pt>
                <c:pt idx="20">
                  <c:v>£120,000.00</c:v>
                </c:pt>
                <c:pt idx="21">
                  <c:v>£90,000.00</c:v>
                </c:pt>
                <c:pt idx="22">
                  <c:v>£63,000.00</c:v>
                </c:pt>
                <c:pt idx="23">
                  <c:v>£165,000.00</c:v>
                </c:pt>
                <c:pt idx="24">
                  <c:v>£54,000.00</c:v>
                </c:pt>
                <c:pt idx="25">
                  <c:v>£63,000.00</c:v>
                </c:pt>
                <c:pt idx="26">
                  <c:v>£108,000.00</c:v>
                </c:pt>
                <c:pt idx="27">
                  <c:v>£180,000.00</c:v>
                </c:pt>
                <c:pt idx="28">
                  <c:v>£57,000.00</c:v>
                </c:pt>
                <c:pt idx="29">
                  <c:v>£78,000.00</c:v>
                </c:pt>
                <c:pt idx="30">
                  <c:v>£72,000.00</c:v>
                </c:pt>
                <c:pt idx="31">
                  <c:v>£180,000.00</c:v>
                </c:pt>
                <c:pt idx="32">
                  <c:v>£210,000.00</c:v>
                </c:pt>
                <c:pt idx="33">
                  <c:v>£144,000.00</c:v>
                </c:pt>
                <c:pt idx="34">
                  <c:v>£129,000.00</c:v>
                </c:pt>
                <c:pt idx="35">
                  <c:v>£45,000.00</c:v>
                </c:pt>
                <c:pt idx="36">
                  <c:v>£141,000.00</c:v>
                </c:pt>
                <c:pt idx="37">
                  <c:v>£84,000.00</c:v>
                </c:pt>
                <c:pt idx="38">
                  <c:v>£144,000.00</c:v>
                </c:pt>
              </c:strCache>
            </c:strRef>
          </c:cat>
          <c:val>
            <c:numRef>
              <c:f>Question!$I$9:$I$57</c:f>
              <c:numCache>
                <c:formatCode>[$£-809]#,##0.00</c:formatCode>
                <c:ptCount val="49"/>
                <c:pt idx="1">
                  <c:v>0</c:v>
                </c:pt>
                <c:pt idx="2">
                  <c:v>30000</c:v>
                </c:pt>
                <c:pt idx="3">
                  <c:v>0</c:v>
                </c:pt>
                <c:pt idx="4">
                  <c:v>0</c:v>
                </c:pt>
                <c:pt idx="5">
                  <c:v>143880.53</c:v>
                </c:pt>
                <c:pt idx="6">
                  <c:v>272761.06</c:v>
                </c:pt>
                <c:pt idx="7">
                  <c:v>326641.58999999997</c:v>
                </c:pt>
                <c:pt idx="8">
                  <c:v>365522.12</c:v>
                </c:pt>
                <c:pt idx="9">
                  <c:v>389402.65</c:v>
                </c:pt>
                <c:pt idx="10">
                  <c:v>443283.18000000005</c:v>
                </c:pt>
                <c:pt idx="11">
                  <c:v>527163.71000000008</c:v>
                </c:pt>
                <c:pt idx="12">
                  <c:v>656044.24000000011</c:v>
                </c:pt>
                <c:pt idx="13">
                  <c:v>715924.77000000014</c:v>
                </c:pt>
                <c:pt idx="14">
                  <c:v>841805.30000000016</c:v>
                </c:pt>
                <c:pt idx="15">
                  <c:v>943685.83000000019</c:v>
                </c:pt>
                <c:pt idx="16">
                  <c:v>1021566.3600000002</c:v>
                </c:pt>
                <c:pt idx="17">
                  <c:v>1045446.8900000002</c:v>
                </c:pt>
                <c:pt idx="18">
                  <c:v>1072327.4200000002</c:v>
                </c:pt>
                <c:pt idx="19">
                  <c:v>1123207.9500000002</c:v>
                </c:pt>
                <c:pt idx="20">
                  <c:v>1237088.4800000002</c:v>
                </c:pt>
                <c:pt idx="21">
                  <c:v>1320969.0100000002</c:v>
                </c:pt>
                <c:pt idx="22">
                  <c:v>1377849.5400000003</c:v>
                </c:pt>
                <c:pt idx="23">
                  <c:v>1536730.0700000003</c:v>
                </c:pt>
                <c:pt idx="24">
                  <c:v>1584610.6000000003</c:v>
                </c:pt>
                <c:pt idx="25">
                  <c:v>1641491.1300000004</c:v>
                </c:pt>
                <c:pt idx="26">
                  <c:v>1743371.6600000004</c:v>
                </c:pt>
                <c:pt idx="27">
                  <c:v>1917252.1900000004</c:v>
                </c:pt>
                <c:pt idx="28">
                  <c:v>1968132.7200000004</c:v>
                </c:pt>
                <c:pt idx="29">
                  <c:v>2040013.2500000005</c:v>
                </c:pt>
                <c:pt idx="30">
                  <c:v>2105893.7800000003</c:v>
                </c:pt>
                <c:pt idx="31">
                  <c:v>2279774.31</c:v>
                </c:pt>
                <c:pt idx="32">
                  <c:v>2483654.84</c:v>
                </c:pt>
                <c:pt idx="33">
                  <c:v>2621535.3699999996</c:v>
                </c:pt>
                <c:pt idx="34">
                  <c:v>2744415.8999999994</c:v>
                </c:pt>
                <c:pt idx="35">
                  <c:v>2783296.4299999992</c:v>
                </c:pt>
                <c:pt idx="36">
                  <c:v>2918176.959999999</c:v>
                </c:pt>
                <c:pt idx="37">
                  <c:v>2996057.4899999988</c:v>
                </c:pt>
                <c:pt idx="38">
                  <c:v>3133938.0199999986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F5-42FC-B895-2FFEFCDC1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560415"/>
        <c:axId val="1012728863"/>
      </c:lineChart>
      <c:catAx>
        <c:axId val="83556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728863"/>
        <c:crosses val="autoZero"/>
        <c:auto val="1"/>
        <c:lblAlgn val="ctr"/>
        <c:lblOffset val="100"/>
        <c:noMultiLvlLbl val="0"/>
      </c:catAx>
      <c:valAx>
        <c:axId val="101272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;\-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56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Question!$G$1:$G$8</c:f>
              <c:strCache>
                <c:ptCount val="8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Question!$G$9:$G$57</c:f>
              <c:numCache>
                <c:formatCode>[$£-809]#,##0.00;[Red]\-[$£-809]#,##0.00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30000</c:v>
                </c:pt>
                <c:pt idx="3">
                  <c:v>90000</c:v>
                </c:pt>
                <c:pt idx="4">
                  <c:v>120000</c:v>
                </c:pt>
                <c:pt idx="5">
                  <c:v>150000</c:v>
                </c:pt>
                <c:pt idx="6">
                  <c:v>135000</c:v>
                </c:pt>
                <c:pt idx="7">
                  <c:v>60000</c:v>
                </c:pt>
                <c:pt idx="8">
                  <c:v>45000</c:v>
                </c:pt>
                <c:pt idx="9">
                  <c:v>30000</c:v>
                </c:pt>
                <c:pt idx="10">
                  <c:v>60000</c:v>
                </c:pt>
                <c:pt idx="11">
                  <c:v>90000</c:v>
                </c:pt>
                <c:pt idx="12">
                  <c:v>135000</c:v>
                </c:pt>
                <c:pt idx="13">
                  <c:v>66000</c:v>
                </c:pt>
                <c:pt idx="14">
                  <c:v>132000</c:v>
                </c:pt>
                <c:pt idx="15">
                  <c:v>108000</c:v>
                </c:pt>
                <c:pt idx="16">
                  <c:v>84000</c:v>
                </c:pt>
                <c:pt idx="17">
                  <c:v>30000</c:v>
                </c:pt>
                <c:pt idx="18">
                  <c:v>33000</c:v>
                </c:pt>
                <c:pt idx="19">
                  <c:v>57000</c:v>
                </c:pt>
                <c:pt idx="20">
                  <c:v>120000</c:v>
                </c:pt>
                <c:pt idx="21">
                  <c:v>90000</c:v>
                </c:pt>
                <c:pt idx="22">
                  <c:v>63000</c:v>
                </c:pt>
                <c:pt idx="23">
                  <c:v>165000</c:v>
                </c:pt>
                <c:pt idx="24">
                  <c:v>54000</c:v>
                </c:pt>
                <c:pt idx="25">
                  <c:v>63000</c:v>
                </c:pt>
                <c:pt idx="26">
                  <c:v>108000</c:v>
                </c:pt>
                <c:pt idx="27">
                  <c:v>180000</c:v>
                </c:pt>
                <c:pt idx="28">
                  <c:v>57000</c:v>
                </c:pt>
                <c:pt idx="29">
                  <c:v>78000</c:v>
                </c:pt>
                <c:pt idx="30">
                  <c:v>72000</c:v>
                </c:pt>
                <c:pt idx="31">
                  <c:v>180000</c:v>
                </c:pt>
                <c:pt idx="32">
                  <c:v>210000</c:v>
                </c:pt>
                <c:pt idx="33">
                  <c:v>144000</c:v>
                </c:pt>
                <c:pt idx="34">
                  <c:v>129000</c:v>
                </c:pt>
                <c:pt idx="35">
                  <c:v>45000</c:v>
                </c:pt>
                <c:pt idx="36">
                  <c:v>141000</c:v>
                </c:pt>
                <c:pt idx="37">
                  <c:v>84000</c:v>
                </c:pt>
                <c:pt idx="38">
                  <c:v>144000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A-47E8-9D21-BCBF5E8F1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999855"/>
        <c:axId val="2021001775"/>
      </c:barChart>
      <c:catAx>
        <c:axId val="202099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001775"/>
        <c:crosses val="autoZero"/>
        <c:auto val="1"/>
        <c:lblAlgn val="ctr"/>
        <c:lblOffset val="100"/>
        <c:noMultiLvlLbl val="0"/>
      </c:catAx>
      <c:valAx>
        <c:axId val="202100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;[Red]\-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9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685799</xdr:colOff>
      <xdr:row>3</xdr:row>
      <xdr:rowOff>175846</xdr:rowOff>
    </xdr:from>
    <xdr:to>
      <xdr:col>14</xdr:col>
      <xdr:colOff>603738</xdr:colOff>
      <xdr:row>16</xdr:row>
      <xdr:rowOff>23446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63036-D90A-037F-626E-7B6DE0E6D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685799</xdr:colOff>
      <xdr:row>17</xdr:row>
      <xdr:rowOff>164123</xdr:rowOff>
    </xdr:from>
    <xdr:to>
      <xdr:col>14</xdr:col>
      <xdr:colOff>603738</xdr:colOff>
      <xdr:row>32</xdr:row>
      <xdr:rowOff>93785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2C1EB-F9BB-6B15-7B9E-35365E024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zoomScale="65" zoomScaleNormal="70" workbookViewId="0">
      <selection activeCell="K29" sqref="K29"/>
    </sheetView>
  </sheetViews>
  <sheetFormatPr defaultRowHeight="14.4"/>
  <cols>
    <col min="1" max="1" width="16.6640625" style="1" bestFit="1" customWidth="1"/>
    <col min="2" max="2" width="15.5546875" style="21" customWidth="1"/>
    <col min="3" max="3" width="15.6640625" style="11" customWidth="1"/>
    <col min="4" max="4" width="24" style="10" bestFit="1" customWidth="1"/>
    <col min="5" max="5" width="16.6640625" style="10" bestFit="1" customWidth="1"/>
    <col min="6" max="6" width="16.6640625" style="17" customWidth="1"/>
    <col min="7" max="7" width="26.6640625" style="44" customWidth="1"/>
    <col min="8" max="8" width="20.33203125" style="46" customWidth="1"/>
    <col min="9" max="9" width="15.44140625" style="10" customWidth="1"/>
    <col min="10" max="10" width="11.33203125" bestFit="1" customWidth="1"/>
    <col min="11" max="11" width="41.33203125" bestFit="1" customWidth="1"/>
  </cols>
  <sheetData>
    <row r="1" spans="1:9" ht="16.2" thickBot="1">
      <c r="D1" s="13" t="s">
        <v>0</v>
      </c>
      <c r="E1" s="13"/>
      <c r="F1" s="13"/>
      <c r="G1" s="36"/>
    </row>
    <row r="2" spans="1:9" ht="21" customHeight="1" thickBot="1">
      <c r="B2" s="22"/>
      <c r="C2" s="28"/>
      <c r="D2" s="32" t="s">
        <v>1</v>
      </c>
      <c r="E2" s="32"/>
      <c r="F2" s="32"/>
      <c r="G2" s="37"/>
      <c r="H2" s="47"/>
      <c r="I2" s="53"/>
    </row>
    <row r="3" spans="1:9" ht="15" thickBot="1">
      <c r="B3" s="23"/>
      <c r="C3" s="29"/>
      <c r="D3" s="32"/>
      <c r="E3" s="14"/>
      <c r="F3" s="14"/>
      <c r="G3" s="38"/>
      <c r="I3" s="54"/>
    </row>
    <row r="4" spans="1:9" ht="15" thickBot="1">
      <c r="B4" s="23"/>
      <c r="C4" s="29"/>
      <c r="D4" s="32"/>
      <c r="E4" s="14"/>
      <c r="F4" s="14"/>
      <c r="G4" s="38"/>
      <c r="I4" s="54"/>
    </row>
    <row r="5" spans="1:9" ht="15" thickBot="1">
      <c r="B5" s="23"/>
      <c r="C5" s="29"/>
      <c r="D5" s="32"/>
      <c r="E5" s="14"/>
      <c r="F5" s="14"/>
      <c r="G5" s="38"/>
      <c r="H5" s="48"/>
      <c r="I5" s="55"/>
    </row>
    <row r="6" spans="1:9" ht="15" thickBot="1">
      <c r="B6" s="23"/>
      <c r="C6" s="29"/>
      <c r="D6" s="32"/>
      <c r="E6" s="14"/>
      <c r="F6" s="14"/>
      <c r="G6" s="38"/>
      <c r="H6" s="48"/>
      <c r="I6" s="55"/>
    </row>
    <row r="7" spans="1:9" ht="37.200000000000003" customHeight="1" thickBot="1">
      <c r="B7" s="24"/>
      <c r="C7" s="30"/>
      <c r="D7" s="32"/>
      <c r="E7" s="15"/>
      <c r="F7" s="15"/>
      <c r="G7" s="39"/>
      <c r="H7" s="49"/>
      <c r="I7" s="56"/>
    </row>
    <row r="8" spans="1:9">
      <c r="B8" s="25"/>
      <c r="C8" s="29"/>
      <c r="D8" s="33"/>
      <c r="E8" s="11"/>
      <c r="F8" s="16"/>
      <c r="G8" s="40"/>
      <c r="H8" s="48"/>
      <c r="I8" s="12"/>
    </row>
    <row r="9" spans="1:9" ht="15" thickBot="1">
      <c r="C9" s="31" t="s">
        <v>2</v>
      </c>
      <c r="D9" s="34"/>
      <c r="E9" s="35"/>
      <c r="F9" s="10"/>
      <c r="G9" s="41" t="s">
        <v>3</v>
      </c>
    </row>
    <row r="10" spans="1:9" ht="28.2" thickBot="1">
      <c r="A10" s="6" t="s">
        <v>4</v>
      </c>
      <c r="B10" s="19" t="s">
        <v>5</v>
      </c>
      <c r="C10" s="9" t="s">
        <v>6</v>
      </c>
      <c r="D10" s="9" t="s">
        <v>7</v>
      </c>
      <c r="E10" s="9" t="s">
        <v>8</v>
      </c>
      <c r="F10" s="9" t="s">
        <v>9</v>
      </c>
      <c r="G10" s="42" t="s">
        <v>10</v>
      </c>
      <c r="H10" s="50" t="s">
        <v>11</v>
      </c>
      <c r="I10" s="57" t="s">
        <v>12</v>
      </c>
    </row>
    <row r="11" spans="1:9" ht="15" thickBot="1">
      <c r="A11" s="7">
        <v>0</v>
      </c>
      <c r="B11" s="20">
        <v>0</v>
      </c>
      <c r="C11" s="8">
        <v>0</v>
      </c>
      <c r="D11" s="8">
        <v>0</v>
      </c>
      <c r="E11" s="8">
        <v>0</v>
      </c>
      <c r="F11" s="8">
        <v>0</v>
      </c>
      <c r="G11" s="43">
        <v>30000</v>
      </c>
      <c r="H11" s="51">
        <f t="shared" ref="H11:H47" si="0">G11-F11</f>
        <v>30000</v>
      </c>
      <c r="I11" s="58">
        <v>30000</v>
      </c>
    </row>
    <row r="12" spans="1:9" ht="15" thickBot="1">
      <c r="A12" s="7">
        <v>1</v>
      </c>
      <c r="B12" s="20">
        <v>30000</v>
      </c>
      <c r="C12" s="8" t="s">
        <v>13</v>
      </c>
      <c r="D12" s="8" t="s">
        <v>14</v>
      </c>
      <c r="E12" s="8" t="s">
        <v>15</v>
      </c>
      <c r="F12" s="8">
        <v>6119.47</v>
      </c>
      <c r="G12" s="43">
        <v>90000</v>
      </c>
      <c r="H12" s="51">
        <f t="shared" si="0"/>
        <v>83880.53</v>
      </c>
      <c r="I12" s="58" t="s">
        <v>16</v>
      </c>
    </row>
    <row r="13" spans="1:9" ht="15" thickBot="1">
      <c r="A13" s="7">
        <v>2</v>
      </c>
      <c r="B13" s="20">
        <v>40000</v>
      </c>
      <c r="C13" s="8" t="s">
        <v>13</v>
      </c>
      <c r="D13" s="8" t="s">
        <v>14</v>
      </c>
      <c r="E13" s="8" t="s">
        <v>15</v>
      </c>
      <c r="F13" s="8">
        <v>6119.47</v>
      </c>
      <c r="G13" s="43">
        <v>120000</v>
      </c>
      <c r="H13" s="51">
        <f t="shared" si="0"/>
        <v>113880.53</v>
      </c>
      <c r="I13" s="58" t="s">
        <v>17</v>
      </c>
    </row>
    <row r="14" spans="1:9" ht="15" thickBot="1">
      <c r="A14" s="2">
        <v>3</v>
      </c>
      <c r="B14" s="26">
        <v>50000</v>
      </c>
      <c r="C14" s="8" t="s">
        <v>13</v>
      </c>
      <c r="D14" s="8" t="s">
        <v>14</v>
      </c>
      <c r="E14" s="8" t="s">
        <v>15</v>
      </c>
      <c r="F14" s="8">
        <v>6119.47</v>
      </c>
      <c r="G14" s="43">
        <v>150000</v>
      </c>
      <c r="H14" s="51">
        <f t="shared" si="0"/>
        <v>143880.53</v>
      </c>
      <c r="I14" s="5">
        <f>G14 - F14</f>
        <v>143880.53</v>
      </c>
    </row>
    <row r="15" spans="1:9" ht="15" thickBot="1">
      <c r="A15" s="2">
        <v>4</v>
      </c>
      <c r="B15" s="26">
        <v>45000</v>
      </c>
      <c r="C15" s="8">
        <v>919.47</v>
      </c>
      <c r="D15" s="8" t="s">
        <v>14</v>
      </c>
      <c r="E15" s="8" t="s">
        <v>15</v>
      </c>
      <c r="F15" s="8">
        <v>6119.47</v>
      </c>
      <c r="G15" s="43">
        <f t="shared" ref="G15:G47" si="1">B15*3</f>
        <v>135000</v>
      </c>
      <c r="H15" s="51">
        <f t="shared" si="0"/>
        <v>128880.53</v>
      </c>
      <c r="I15" s="5">
        <f t="shared" ref="I15:I47" si="2">I14 + H15</f>
        <v>272761.06</v>
      </c>
    </row>
    <row r="16" spans="1:9" ht="15" thickBot="1">
      <c r="A16" s="2">
        <v>5</v>
      </c>
      <c r="B16" s="26">
        <v>20000</v>
      </c>
      <c r="C16" s="8" t="s">
        <v>13</v>
      </c>
      <c r="D16" s="8" t="s">
        <v>14</v>
      </c>
      <c r="E16" s="8" t="s">
        <v>15</v>
      </c>
      <c r="F16" s="8">
        <v>6119.47</v>
      </c>
      <c r="G16" s="43">
        <f t="shared" si="1"/>
        <v>60000</v>
      </c>
      <c r="H16" s="51">
        <f t="shared" si="0"/>
        <v>53880.53</v>
      </c>
      <c r="I16" s="5">
        <f t="shared" si="2"/>
        <v>326641.58999999997</v>
      </c>
    </row>
    <row r="17" spans="1:9" ht="15" thickBot="1">
      <c r="A17" s="2">
        <v>6</v>
      </c>
      <c r="B17" s="26">
        <v>15000</v>
      </c>
      <c r="C17" s="8" t="s">
        <v>13</v>
      </c>
      <c r="D17" s="8" t="s">
        <v>14</v>
      </c>
      <c r="E17" s="8" t="s">
        <v>15</v>
      </c>
      <c r="F17" s="8">
        <v>6119.47</v>
      </c>
      <c r="G17" s="43">
        <f t="shared" si="1"/>
        <v>45000</v>
      </c>
      <c r="H17" s="51">
        <f t="shared" si="0"/>
        <v>38880.53</v>
      </c>
      <c r="I17" s="5">
        <f t="shared" si="2"/>
        <v>365522.12</v>
      </c>
    </row>
    <row r="18" spans="1:9" ht="15" thickBot="1">
      <c r="A18" s="2">
        <v>7</v>
      </c>
      <c r="B18" s="26">
        <v>10000</v>
      </c>
      <c r="C18" s="8" t="s">
        <v>13</v>
      </c>
      <c r="D18" s="8" t="s">
        <v>14</v>
      </c>
      <c r="E18" s="8" t="s">
        <v>15</v>
      </c>
      <c r="F18" s="8">
        <v>6119.47</v>
      </c>
      <c r="G18" s="43">
        <f t="shared" si="1"/>
        <v>30000</v>
      </c>
      <c r="H18" s="51">
        <f t="shared" si="0"/>
        <v>23880.53</v>
      </c>
      <c r="I18" s="5">
        <f t="shared" si="2"/>
        <v>389402.65</v>
      </c>
    </row>
    <row r="19" spans="1:9" ht="15" thickBot="1">
      <c r="A19" s="2">
        <v>8</v>
      </c>
      <c r="B19" s="26">
        <v>20000</v>
      </c>
      <c r="C19" s="8" t="s">
        <v>13</v>
      </c>
      <c r="D19" s="8" t="s">
        <v>14</v>
      </c>
      <c r="E19" s="8" t="s">
        <v>15</v>
      </c>
      <c r="F19" s="8">
        <v>6119.47</v>
      </c>
      <c r="G19" s="43">
        <f t="shared" si="1"/>
        <v>60000</v>
      </c>
      <c r="H19" s="51">
        <f t="shared" si="0"/>
        <v>53880.53</v>
      </c>
      <c r="I19" s="5">
        <f t="shared" si="2"/>
        <v>443283.18000000005</v>
      </c>
    </row>
    <row r="20" spans="1:9" ht="15" thickBot="1">
      <c r="A20" s="2">
        <v>9</v>
      </c>
      <c r="B20" s="26">
        <v>30000</v>
      </c>
      <c r="C20" s="8" t="s">
        <v>13</v>
      </c>
      <c r="D20" s="8" t="s">
        <v>14</v>
      </c>
      <c r="E20" s="8" t="s">
        <v>15</v>
      </c>
      <c r="F20" s="8">
        <v>6119.47</v>
      </c>
      <c r="G20" s="43">
        <f t="shared" si="1"/>
        <v>90000</v>
      </c>
      <c r="H20" s="51">
        <f t="shared" si="0"/>
        <v>83880.53</v>
      </c>
      <c r="I20" s="5">
        <f t="shared" si="2"/>
        <v>527163.71000000008</v>
      </c>
    </row>
    <row r="21" spans="1:9" ht="15" thickBot="1">
      <c r="A21" s="2">
        <v>10</v>
      </c>
      <c r="B21" s="26">
        <v>45000</v>
      </c>
      <c r="C21" s="8" t="s">
        <v>13</v>
      </c>
      <c r="D21" s="8" t="s">
        <v>14</v>
      </c>
      <c r="E21" s="8" t="s">
        <v>15</v>
      </c>
      <c r="F21" s="8">
        <v>6119.47</v>
      </c>
      <c r="G21" s="43">
        <f t="shared" si="1"/>
        <v>135000</v>
      </c>
      <c r="H21" s="51">
        <f t="shared" si="0"/>
        <v>128880.53</v>
      </c>
      <c r="I21" s="5">
        <f t="shared" si="2"/>
        <v>656044.24000000011</v>
      </c>
    </row>
    <row r="22" spans="1:9" ht="15" thickBot="1">
      <c r="A22" s="2">
        <v>11</v>
      </c>
      <c r="B22" s="26">
        <v>22000</v>
      </c>
      <c r="C22" s="8" t="s">
        <v>13</v>
      </c>
      <c r="D22" s="8" t="s">
        <v>18</v>
      </c>
      <c r="E22" s="8" t="s">
        <v>15</v>
      </c>
      <c r="F22" s="8">
        <v>6119.47</v>
      </c>
      <c r="G22" s="43">
        <f t="shared" si="1"/>
        <v>66000</v>
      </c>
      <c r="H22" s="51">
        <f t="shared" si="0"/>
        <v>59880.53</v>
      </c>
      <c r="I22" s="5">
        <f t="shared" si="2"/>
        <v>715924.77000000014</v>
      </c>
    </row>
    <row r="23" spans="1:9" ht="15" thickBot="1">
      <c r="A23" s="2">
        <v>12</v>
      </c>
      <c r="B23" s="26">
        <v>44000</v>
      </c>
      <c r="C23" s="8" t="s">
        <v>13</v>
      </c>
      <c r="D23" s="8" t="s">
        <v>14</v>
      </c>
      <c r="E23" s="8" t="s">
        <v>15</v>
      </c>
      <c r="F23" s="8">
        <v>6119.47</v>
      </c>
      <c r="G23" s="43">
        <f t="shared" si="1"/>
        <v>132000</v>
      </c>
      <c r="H23" s="51">
        <f t="shared" si="0"/>
        <v>125880.53</v>
      </c>
      <c r="I23" s="5">
        <f t="shared" si="2"/>
        <v>841805.30000000016</v>
      </c>
    </row>
    <row r="24" spans="1:9" ht="15" thickBot="1">
      <c r="A24" s="2">
        <v>13</v>
      </c>
      <c r="B24" s="26">
        <v>36000</v>
      </c>
      <c r="C24" s="8" t="s">
        <v>13</v>
      </c>
      <c r="D24" s="8" t="s">
        <v>14</v>
      </c>
      <c r="E24" s="8" t="s">
        <v>15</v>
      </c>
      <c r="F24" s="8">
        <v>6119.47</v>
      </c>
      <c r="G24" s="43">
        <f t="shared" si="1"/>
        <v>108000</v>
      </c>
      <c r="H24" s="51">
        <f t="shared" si="0"/>
        <v>101880.53</v>
      </c>
      <c r="I24" s="5">
        <f t="shared" si="2"/>
        <v>943685.83000000019</v>
      </c>
    </row>
    <row r="25" spans="1:9" ht="15" thickBot="1">
      <c r="A25" s="2">
        <v>14</v>
      </c>
      <c r="B25" s="26">
        <v>28000</v>
      </c>
      <c r="C25" s="8" t="s">
        <v>13</v>
      </c>
      <c r="D25" s="8" t="s">
        <v>14</v>
      </c>
      <c r="E25" s="8" t="s">
        <v>15</v>
      </c>
      <c r="F25" s="8">
        <v>6119.47</v>
      </c>
      <c r="G25" s="43">
        <f t="shared" si="1"/>
        <v>84000</v>
      </c>
      <c r="H25" s="51">
        <f t="shared" si="0"/>
        <v>77880.53</v>
      </c>
      <c r="I25" s="5">
        <f t="shared" si="2"/>
        <v>1021566.3600000002</v>
      </c>
    </row>
    <row r="26" spans="1:9" ht="15" thickBot="1">
      <c r="A26" s="2">
        <v>15</v>
      </c>
      <c r="B26" s="26">
        <v>10000</v>
      </c>
      <c r="C26" s="8" t="s">
        <v>13</v>
      </c>
      <c r="D26" s="8" t="s">
        <v>14</v>
      </c>
      <c r="E26" s="8" t="s">
        <v>15</v>
      </c>
      <c r="F26" s="8">
        <v>6119.47</v>
      </c>
      <c r="G26" s="43">
        <f t="shared" si="1"/>
        <v>30000</v>
      </c>
      <c r="H26" s="51">
        <f t="shared" si="0"/>
        <v>23880.53</v>
      </c>
      <c r="I26" s="5">
        <f t="shared" si="2"/>
        <v>1045446.8900000002</v>
      </c>
    </row>
    <row r="27" spans="1:9" ht="15" thickBot="1">
      <c r="A27" s="2">
        <v>16</v>
      </c>
      <c r="B27" s="26">
        <v>11000</v>
      </c>
      <c r="C27" s="8" t="s">
        <v>13</v>
      </c>
      <c r="D27" s="8" t="s">
        <v>14</v>
      </c>
      <c r="E27" s="8" t="s">
        <v>15</v>
      </c>
      <c r="F27" s="8">
        <v>6119.47</v>
      </c>
      <c r="G27" s="43">
        <f t="shared" si="1"/>
        <v>33000</v>
      </c>
      <c r="H27" s="51">
        <f t="shared" si="0"/>
        <v>26880.53</v>
      </c>
      <c r="I27" s="5">
        <f t="shared" si="2"/>
        <v>1072327.4200000002</v>
      </c>
    </row>
    <row r="28" spans="1:9" ht="15" thickBot="1">
      <c r="A28" s="2">
        <v>17</v>
      </c>
      <c r="B28" s="26">
        <v>19000</v>
      </c>
      <c r="C28" s="8" t="s">
        <v>13</v>
      </c>
      <c r="D28" s="8" t="s">
        <v>14</v>
      </c>
      <c r="E28" s="8" t="s">
        <v>15</v>
      </c>
      <c r="F28" s="8">
        <v>6119.47</v>
      </c>
      <c r="G28" s="43">
        <f t="shared" si="1"/>
        <v>57000</v>
      </c>
      <c r="H28" s="51">
        <f t="shared" si="0"/>
        <v>50880.53</v>
      </c>
      <c r="I28" s="5">
        <f t="shared" si="2"/>
        <v>1123207.9500000002</v>
      </c>
    </row>
    <row r="29" spans="1:9" ht="15" thickBot="1">
      <c r="A29" s="2">
        <v>18</v>
      </c>
      <c r="B29" s="26">
        <v>40000</v>
      </c>
      <c r="C29" s="8" t="s">
        <v>13</v>
      </c>
      <c r="D29" s="8" t="s">
        <v>14</v>
      </c>
      <c r="E29" s="8" t="s">
        <v>15</v>
      </c>
      <c r="F29" s="8">
        <v>6119.47</v>
      </c>
      <c r="G29" s="43">
        <f t="shared" si="1"/>
        <v>120000</v>
      </c>
      <c r="H29" s="51">
        <f t="shared" si="0"/>
        <v>113880.53</v>
      </c>
      <c r="I29" s="5">
        <f t="shared" si="2"/>
        <v>1237088.4800000002</v>
      </c>
    </row>
    <row r="30" spans="1:9" ht="15" thickBot="1">
      <c r="A30" s="2">
        <v>19</v>
      </c>
      <c r="B30" s="26">
        <v>30000</v>
      </c>
      <c r="C30" s="8" t="s">
        <v>13</v>
      </c>
      <c r="D30" s="8" t="s">
        <v>14</v>
      </c>
      <c r="E30" s="8" t="s">
        <v>15</v>
      </c>
      <c r="F30" s="8">
        <v>6119.47</v>
      </c>
      <c r="G30" s="43">
        <f t="shared" si="1"/>
        <v>90000</v>
      </c>
      <c r="H30" s="51">
        <f t="shared" si="0"/>
        <v>83880.53</v>
      </c>
      <c r="I30" s="5">
        <f t="shared" si="2"/>
        <v>1320969.0100000002</v>
      </c>
    </row>
    <row r="31" spans="1:9" ht="15" thickBot="1">
      <c r="A31" s="2">
        <v>20</v>
      </c>
      <c r="B31" s="26">
        <v>21000</v>
      </c>
      <c r="C31" s="8" t="s">
        <v>13</v>
      </c>
      <c r="D31" s="8" t="s">
        <v>14</v>
      </c>
      <c r="E31" s="8" t="s">
        <v>15</v>
      </c>
      <c r="F31" s="8">
        <v>6119.47</v>
      </c>
      <c r="G31" s="43">
        <f t="shared" si="1"/>
        <v>63000</v>
      </c>
      <c r="H31" s="51">
        <f t="shared" si="0"/>
        <v>56880.53</v>
      </c>
      <c r="I31" s="5">
        <f t="shared" si="2"/>
        <v>1377849.5400000003</v>
      </c>
    </row>
    <row r="32" spans="1:9" ht="15" thickBot="1">
      <c r="A32" s="2">
        <v>21</v>
      </c>
      <c r="B32" s="26">
        <v>55000</v>
      </c>
      <c r="C32" s="8" t="s">
        <v>13</v>
      </c>
      <c r="D32" s="8" t="s">
        <v>14</v>
      </c>
      <c r="E32" s="8" t="s">
        <v>15</v>
      </c>
      <c r="F32" s="8">
        <v>6119.47</v>
      </c>
      <c r="G32" s="43">
        <f t="shared" si="1"/>
        <v>165000</v>
      </c>
      <c r="H32" s="51">
        <f t="shared" si="0"/>
        <v>158880.53</v>
      </c>
      <c r="I32" s="5">
        <f t="shared" si="2"/>
        <v>1536730.0700000003</v>
      </c>
    </row>
    <row r="33" spans="1:9" ht="15" thickBot="1">
      <c r="A33" s="2">
        <v>22</v>
      </c>
      <c r="B33" s="26">
        <v>18000</v>
      </c>
      <c r="C33" s="8" t="s">
        <v>13</v>
      </c>
      <c r="D33" s="8" t="s">
        <v>14</v>
      </c>
      <c r="E33" s="8" t="s">
        <v>15</v>
      </c>
      <c r="F33" s="8">
        <v>6119.47</v>
      </c>
      <c r="G33" s="43">
        <f t="shared" si="1"/>
        <v>54000</v>
      </c>
      <c r="H33" s="51">
        <f t="shared" si="0"/>
        <v>47880.53</v>
      </c>
      <c r="I33" s="5">
        <f t="shared" si="2"/>
        <v>1584610.6000000003</v>
      </c>
    </row>
    <row r="34" spans="1:9" ht="15" thickBot="1">
      <c r="A34" s="2">
        <v>23</v>
      </c>
      <c r="B34" s="26">
        <v>21000</v>
      </c>
      <c r="C34" s="8" t="s">
        <v>13</v>
      </c>
      <c r="D34" s="8" t="s">
        <v>14</v>
      </c>
      <c r="E34" s="8" t="s">
        <v>15</v>
      </c>
      <c r="F34" s="8">
        <v>6119.47</v>
      </c>
      <c r="G34" s="43">
        <f t="shared" si="1"/>
        <v>63000</v>
      </c>
      <c r="H34" s="51">
        <f t="shared" si="0"/>
        <v>56880.53</v>
      </c>
      <c r="I34" s="5">
        <f t="shared" si="2"/>
        <v>1641491.1300000004</v>
      </c>
    </row>
    <row r="35" spans="1:9" ht="15" thickBot="1">
      <c r="A35" s="2">
        <v>24</v>
      </c>
      <c r="B35" s="26">
        <v>36000</v>
      </c>
      <c r="C35" s="8" t="s">
        <v>13</v>
      </c>
      <c r="D35" s="8" t="s">
        <v>14</v>
      </c>
      <c r="E35" s="8" t="s">
        <v>15</v>
      </c>
      <c r="F35" s="8">
        <v>6119.47</v>
      </c>
      <c r="G35" s="43">
        <f t="shared" si="1"/>
        <v>108000</v>
      </c>
      <c r="H35" s="51">
        <f t="shared" si="0"/>
        <v>101880.53</v>
      </c>
      <c r="I35" s="5">
        <f t="shared" si="2"/>
        <v>1743371.6600000004</v>
      </c>
    </row>
    <row r="36" spans="1:9" ht="15" thickBot="1">
      <c r="A36" s="2">
        <v>25</v>
      </c>
      <c r="B36" s="26">
        <v>60000</v>
      </c>
      <c r="C36" s="8" t="s">
        <v>13</v>
      </c>
      <c r="D36" s="8" t="s">
        <v>14</v>
      </c>
      <c r="E36" s="8" t="s">
        <v>15</v>
      </c>
      <c r="F36" s="8">
        <v>6119.47</v>
      </c>
      <c r="G36" s="43">
        <f t="shared" si="1"/>
        <v>180000</v>
      </c>
      <c r="H36" s="51">
        <f t="shared" si="0"/>
        <v>173880.53</v>
      </c>
      <c r="I36" s="5">
        <f t="shared" si="2"/>
        <v>1917252.1900000004</v>
      </c>
    </row>
    <row r="37" spans="1:9" ht="15" thickBot="1">
      <c r="A37" s="2">
        <v>26</v>
      </c>
      <c r="B37" s="26">
        <v>19000</v>
      </c>
      <c r="C37" s="8" t="s">
        <v>13</v>
      </c>
      <c r="D37" s="8" t="s">
        <v>14</v>
      </c>
      <c r="E37" s="8" t="s">
        <v>15</v>
      </c>
      <c r="F37" s="8">
        <v>6119.47</v>
      </c>
      <c r="G37" s="43">
        <f t="shared" si="1"/>
        <v>57000</v>
      </c>
      <c r="H37" s="51">
        <f t="shared" si="0"/>
        <v>50880.53</v>
      </c>
      <c r="I37" s="5">
        <f t="shared" si="2"/>
        <v>1968132.7200000004</v>
      </c>
    </row>
    <row r="38" spans="1:9" ht="15" thickBot="1">
      <c r="A38" s="2">
        <v>27</v>
      </c>
      <c r="B38" s="26">
        <v>26000</v>
      </c>
      <c r="C38" s="8" t="s">
        <v>13</v>
      </c>
      <c r="D38" s="8" t="s">
        <v>14</v>
      </c>
      <c r="E38" s="8" t="s">
        <v>15</v>
      </c>
      <c r="F38" s="8">
        <v>6119.47</v>
      </c>
      <c r="G38" s="43">
        <f t="shared" si="1"/>
        <v>78000</v>
      </c>
      <c r="H38" s="51">
        <f t="shared" si="0"/>
        <v>71880.53</v>
      </c>
      <c r="I38" s="5">
        <f t="shared" si="2"/>
        <v>2040013.2500000005</v>
      </c>
    </row>
    <row r="39" spans="1:9" ht="15" thickBot="1">
      <c r="A39" s="2">
        <v>28</v>
      </c>
      <c r="B39" s="26">
        <v>24000</v>
      </c>
      <c r="C39" s="8" t="s">
        <v>13</v>
      </c>
      <c r="D39" s="8" t="s">
        <v>14</v>
      </c>
      <c r="E39" s="8" t="s">
        <v>15</v>
      </c>
      <c r="F39" s="8">
        <v>6119.47</v>
      </c>
      <c r="G39" s="43">
        <f t="shared" si="1"/>
        <v>72000</v>
      </c>
      <c r="H39" s="51">
        <f t="shared" si="0"/>
        <v>65880.53</v>
      </c>
      <c r="I39" s="5">
        <f t="shared" si="2"/>
        <v>2105893.7800000003</v>
      </c>
    </row>
    <row r="40" spans="1:9" ht="15" thickBot="1">
      <c r="A40" s="2">
        <v>29</v>
      </c>
      <c r="B40" s="26">
        <v>60000</v>
      </c>
      <c r="C40" s="8" t="s">
        <v>13</v>
      </c>
      <c r="D40" s="8" t="s">
        <v>14</v>
      </c>
      <c r="E40" s="8" t="s">
        <v>15</v>
      </c>
      <c r="F40" s="8">
        <v>6119.47</v>
      </c>
      <c r="G40" s="43">
        <f t="shared" si="1"/>
        <v>180000</v>
      </c>
      <c r="H40" s="51">
        <f t="shared" si="0"/>
        <v>173880.53</v>
      </c>
      <c r="I40" s="5">
        <f t="shared" si="2"/>
        <v>2279774.31</v>
      </c>
    </row>
    <row r="41" spans="1:9" ht="15" thickBot="1">
      <c r="A41" s="2">
        <v>30</v>
      </c>
      <c r="B41" s="26">
        <v>70000</v>
      </c>
      <c r="C41" s="8" t="s">
        <v>13</v>
      </c>
      <c r="D41" s="8" t="s">
        <v>14</v>
      </c>
      <c r="E41" s="8" t="s">
        <v>15</v>
      </c>
      <c r="F41" s="8">
        <v>6119.47</v>
      </c>
      <c r="G41" s="43">
        <f t="shared" si="1"/>
        <v>210000</v>
      </c>
      <c r="H41" s="51">
        <f t="shared" si="0"/>
        <v>203880.53</v>
      </c>
      <c r="I41" s="5">
        <f t="shared" si="2"/>
        <v>2483654.84</v>
      </c>
    </row>
    <row r="42" spans="1:9" ht="15" thickBot="1">
      <c r="A42" s="2">
        <v>31</v>
      </c>
      <c r="B42" s="26">
        <v>48000</v>
      </c>
      <c r="C42" s="8" t="s">
        <v>13</v>
      </c>
      <c r="D42" s="8" t="s">
        <v>14</v>
      </c>
      <c r="E42" s="8" t="s">
        <v>15</v>
      </c>
      <c r="F42" s="8">
        <v>6119.47</v>
      </c>
      <c r="G42" s="43">
        <f t="shared" si="1"/>
        <v>144000</v>
      </c>
      <c r="H42" s="51">
        <f t="shared" si="0"/>
        <v>137880.53</v>
      </c>
      <c r="I42" s="5">
        <f t="shared" si="2"/>
        <v>2621535.3699999996</v>
      </c>
    </row>
    <row r="43" spans="1:9" ht="15" thickBot="1">
      <c r="A43" s="2">
        <v>32</v>
      </c>
      <c r="B43" s="26">
        <v>43000</v>
      </c>
      <c r="C43" s="8" t="s">
        <v>13</v>
      </c>
      <c r="D43" s="8" t="s">
        <v>14</v>
      </c>
      <c r="E43" s="8" t="s">
        <v>15</v>
      </c>
      <c r="F43" s="8">
        <v>6119.47</v>
      </c>
      <c r="G43" s="43">
        <f t="shared" si="1"/>
        <v>129000</v>
      </c>
      <c r="H43" s="51">
        <f t="shared" si="0"/>
        <v>122880.53</v>
      </c>
      <c r="I43" s="5">
        <f t="shared" si="2"/>
        <v>2744415.8999999994</v>
      </c>
    </row>
    <row r="44" spans="1:9" ht="15" thickBot="1">
      <c r="A44" s="2">
        <v>33</v>
      </c>
      <c r="B44" s="26">
        <v>15000</v>
      </c>
      <c r="C44" s="8" t="s">
        <v>13</v>
      </c>
      <c r="D44" s="8" t="s">
        <v>14</v>
      </c>
      <c r="E44" s="8" t="s">
        <v>15</v>
      </c>
      <c r="F44" s="8">
        <v>6119.47</v>
      </c>
      <c r="G44" s="43">
        <f t="shared" si="1"/>
        <v>45000</v>
      </c>
      <c r="H44" s="51">
        <f t="shared" si="0"/>
        <v>38880.53</v>
      </c>
      <c r="I44" s="5">
        <f t="shared" si="2"/>
        <v>2783296.4299999992</v>
      </c>
    </row>
    <row r="45" spans="1:9" ht="15" thickBot="1">
      <c r="A45" s="2">
        <v>34</v>
      </c>
      <c r="B45" s="26">
        <v>47000</v>
      </c>
      <c r="C45" s="8" t="s">
        <v>13</v>
      </c>
      <c r="D45" s="8" t="s">
        <v>14</v>
      </c>
      <c r="E45" s="8" t="s">
        <v>15</v>
      </c>
      <c r="F45" s="8">
        <v>6119.47</v>
      </c>
      <c r="G45" s="43">
        <f t="shared" si="1"/>
        <v>141000</v>
      </c>
      <c r="H45" s="51">
        <f t="shared" si="0"/>
        <v>134880.53</v>
      </c>
      <c r="I45" s="5">
        <f t="shared" si="2"/>
        <v>2918176.959999999</v>
      </c>
    </row>
    <row r="46" spans="1:9" ht="15" thickBot="1">
      <c r="A46" s="2">
        <v>35</v>
      </c>
      <c r="B46" s="26">
        <v>28000</v>
      </c>
      <c r="C46" s="8" t="s">
        <v>13</v>
      </c>
      <c r="D46" s="8" t="s">
        <v>14</v>
      </c>
      <c r="E46" s="8" t="s">
        <v>15</v>
      </c>
      <c r="F46" s="8">
        <v>6119.47</v>
      </c>
      <c r="G46" s="43">
        <f t="shared" si="1"/>
        <v>84000</v>
      </c>
      <c r="H46" s="51">
        <f t="shared" si="0"/>
        <v>77880.53</v>
      </c>
      <c r="I46" s="5">
        <f t="shared" si="2"/>
        <v>2996057.4899999988</v>
      </c>
    </row>
    <row r="47" spans="1:9" ht="15" thickBot="1">
      <c r="A47" s="2">
        <v>36</v>
      </c>
      <c r="B47" s="26">
        <v>48000</v>
      </c>
      <c r="C47" s="8" t="s">
        <v>13</v>
      </c>
      <c r="D47" s="8" t="s">
        <v>14</v>
      </c>
      <c r="E47" s="8" t="s">
        <v>15</v>
      </c>
      <c r="F47" s="8">
        <v>6119.47</v>
      </c>
      <c r="G47" s="43">
        <f t="shared" si="1"/>
        <v>144000</v>
      </c>
      <c r="H47" s="51">
        <f t="shared" si="0"/>
        <v>137880.53</v>
      </c>
      <c r="I47" s="5">
        <f t="shared" si="2"/>
        <v>3133938.0199999986</v>
      </c>
    </row>
    <row r="48" spans="1:9">
      <c r="I48" s="4"/>
    </row>
    <row r="49" spans="1:9">
      <c r="I49" s="4"/>
    </row>
    <row r="50" spans="1:9" ht="51" customHeight="1" thickBot="1">
      <c r="A50" s="3" t="s">
        <v>19</v>
      </c>
      <c r="B50" s="27">
        <f>SUM(B11:B47)</f>
        <v>1184000</v>
      </c>
      <c r="C50" s="4"/>
      <c r="D50" s="11"/>
      <c r="E50" s="11"/>
      <c r="F50" s="18"/>
      <c r="G50" s="45"/>
      <c r="H50" s="52"/>
      <c r="I50" s="4"/>
    </row>
    <row r="51" spans="1:9" ht="15" thickTop="1"/>
    <row r="52" spans="1:9" ht="51" customHeight="1" thickBot="1">
      <c r="A52" s="3" t="s">
        <v>20</v>
      </c>
      <c r="B52" s="27">
        <f>MIN(G12:G47)</f>
        <v>30000</v>
      </c>
      <c r="C52" s="4"/>
    </row>
    <row r="53" spans="1:9" ht="15" thickTop="1"/>
    <row r="54" spans="1:9" ht="51" customHeight="1" thickBot="1">
      <c r="A54" s="3" t="s">
        <v>21</v>
      </c>
      <c r="B54" s="27">
        <f>MAX(G12:G47)</f>
        <v>210000</v>
      </c>
      <c r="C54" s="4"/>
    </row>
    <row r="55" spans="1:9" ht="15" thickTop="1"/>
    <row r="56" spans="1:9" ht="51" customHeight="1" thickBot="1">
      <c r="A56" s="3" t="s">
        <v>22</v>
      </c>
      <c r="B56" s="27">
        <f>AVERAGE(G12:G47)</f>
        <v>98666.666666666672</v>
      </c>
      <c r="C56" s="4"/>
    </row>
    <row r="57" spans="1:9" ht="15" thickTop="1"/>
  </sheetData>
  <phoneticPr fontId="7" type="noConversion"/>
  <conditionalFormatting sqref="H1:H1048576">
    <cfRule type="cellIs" dxfId="2" priority="1" operator="greaterThan">
      <formula>1000</formula>
    </cfRule>
    <cfRule type="cellIs" dxfId="1" priority="2" operator="between">
      <formula>0</formula>
      <formula>1000</formula>
    </cfRule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9716FFB77FD24DA6CBAB0AD331D79B" ma:contentTypeVersion="6" ma:contentTypeDescription="Create a new document." ma:contentTypeScope="" ma:versionID="f8855ace420c64a7bd3b2a5b0d596325">
  <xsd:schema xmlns:xsd="http://www.w3.org/2001/XMLSchema" xmlns:xs="http://www.w3.org/2001/XMLSchema" xmlns:p="http://schemas.microsoft.com/office/2006/metadata/properties" xmlns:ns3="a0850fc1-1444-4c1e-8e4e-a277517b19bc" targetNamespace="http://schemas.microsoft.com/office/2006/metadata/properties" ma:root="true" ma:fieldsID="8bed67a3289686f56fdddc5873c8d5a3" ns3:_="">
    <xsd:import namespace="a0850fc1-1444-4c1e-8e4e-a277517b19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50fc1-1444-4c1e-8e4e-a277517b19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850fc1-1444-4c1e-8e4e-a277517b19bc" xsi:nil="true"/>
  </documentManagement>
</p:properties>
</file>

<file path=customXml/itemProps1.xml><?xml version="1.0" encoding="utf-8"?>
<ds:datastoreItem xmlns:ds="http://schemas.openxmlformats.org/officeDocument/2006/customXml" ds:itemID="{D5BF0E08-0850-416C-8133-AA5D93284A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5DD80E-6192-41FB-9674-0EE4EED30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50fc1-1444-4c1e-8e4e-a277517b19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C06C01-CE0F-407B-B53A-DE917D49F3F7}">
  <ds:schemaRefs>
    <ds:schemaRef ds:uri="http://www.w3.org/XML/1998/namespace"/>
    <ds:schemaRef ds:uri="http://purl.org/dc/dcmitype/"/>
    <ds:schemaRef ds:uri="a0850fc1-1444-4c1e-8e4e-a277517b19bc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>LJMU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Chelsea Dobbins</dc:creator>
  <cp:keywords/>
  <dc:description/>
  <cp:lastModifiedBy>Khan, Aimal</cp:lastModifiedBy>
  <cp:revision/>
  <dcterms:created xsi:type="dcterms:W3CDTF">2016-11-24T10:14:29Z</dcterms:created>
  <dcterms:modified xsi:type="dcterms:W3CDTF">2025-04-11T03:11:38Z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0x010100369716FFB77FD24DA6CBAB0AD331D79B</vt:lpwstr>
  </property>
</Properties>
</file>